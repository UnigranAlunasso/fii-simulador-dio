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40dcd1fc343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dor" sheetId="1" r:id="R92e9984980ba454e"/>
    <x:sheet xmlns:r="http://schemas.openxmlformats.org/officeDocument/2006/relationships" name="Apoio" sheetId="2" r:id="R7b83ec2c2e00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;[Red](R$ #,##0.00);-"/>
    <x:numFmt numFmtId="201" formatCode="0;[Red](0);-"/>
    <x:numFmt numFmtId="202" formatCode="0.00%;[Red](0.00%);-"/>
    <x:numFmt numFmtId="203" formatCode="#,##0.0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6666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i/>
      <x:sz val="10"/>
      <x:color rgb="FF7F6000"/>
      <x:name val="Carlito"/>
    </x:font>
    <x:font>
      <x:sz val="9"/>
      <x:color rgb="FF666666"/>
      <x:name val="Carlito"/>
    </x:font>
    <x:font>
      <x:b/>
      <x:sz val="14"/>
      <x:color rgb="FFFFFFFF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1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5" fillId="6" borderId="1" xfId="0" applyNumberFormat="1" applyFont="1" applyFill="1" applyBorder="1"/>
    <x:xf numFmtId="0" fontId="6" fillId="6" borderId="1" xfId="0" applyNumberFormat="1" applyFont="1" applyFill="1" applyBorder="1"/>
    <x:xf numFmtId="200" fontId="5" fillId="5" borderId="0" xfId="0" applyNumberFormat="1" applyFont="1" applyFill="1" applyBorder="1"/>
    <x:xf numFmtId="200" fontId="6" fillId="6" borderId="0" xfId="0" applyNumberFormat="1" applyFont="1" applyFill="1" applyBorder="1"/>
    <x:xf numFmtId="200" fontId="5" fillId="5" borderId="1" xfId="0" applyNumberFormat="1" applyFont="1" applyFill="1" applyBorder="1"/>
    <x:xf numFmtId="200" fontId="6" fillId="6" borderId="1" xfId="0" applyNumberFormat="1" applyFont="1" applyFill="1" applyBorder="1"/>
    <x:xf numFmtId="201" fontId="5" fillId="5" borderId="0" xfId="0" applyNumberFormat="1" applyFont="1" applyFill="1" applyBorder="1"/>
    <x:xf numFmtId="201" fontId="5" fillId="5" borderId="1" xfId="0" applyNumberFormat="1" applyFont="1" applyFill="1" applyBorder="1"/>
    <x:xf numFmtId="202" fontId="5" fillId="5" borderId="0" xfId="0" applyNumberFormat="1" applyFont="1" applyFill="1" applyBorder="1"/>
    <x:xf numFmtId="202" fontId="5" fillId="5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0" fontId="4" fillId="6" borderId="0" xfId="0" applyNumberFormat="1" applyFont="1" applyFill="1" applyBorder="1"/>
    <x:xf numFmtId="200" fontId="4" fillId="6" borderId="1" xfId="0" applyNumberFormat="1" applyFont="1" applyFill="1" applyBorder="1"/>
    <x:xf numFmtId="201" fontId="4" fillId="6" borderId="0" xfId="0" applyNumberFormat="1" applyFont="1" applyFill="1" applyBorder="1"/>
    <x:xf numFmtId="201" fontId="4" fillId="6" borderId="1" xfId="0" applyNumberFormat="1" applyFont="1" applyFill="1" applyBorder="1"/>
    <x:xf numFmtId="202" fontId="4" fillId="6" borderId="0" xfId="0" applyNumberFormat="1" applyFont="1" applyFill="1" applyBorder="1"/>
    <x:xf numFmtId="202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201" fontId="5" fillId="4" borderId="0" xfId="0" applyNumberFormat="1" applyFont="1" applyFill="1" applyBorder="1" applyAlignment="1">
      <x:alignment horizontal="center"/>
    </x:xf>
    <x:xf numFmtId="201" fontId="5" fillId="4" borderId="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202" fontId="7" fillId="6" borderId="0" xfId="0" applyNumberFormat="1" applyFont="1" applyFill="1" applyBorder="1"/>
    <x:xf numFmtId="202" fontId="7" fillId="6" borderId="1" xfId="0" applyNumberFormat="1" applyFont="1" applyFill="1" applyBorder="1"/>
    <x:xf numFmtId="200" fontId="7" fillId="6" borderId="0" xfId="0" applyNumberFormat="1" applyFont="1" applyFill="1" applyBorder="1"/>
    <x:xf numFmtId="200" fontId="7" fillId="6" borderId="1" xfId="0" applyNumberFormat="1" applyFont="1" applyFill="1" applyBorder="1"/>
    <x:xf numFmtId="202" fontId="3" fillId="2" borderId="0" xfId="0" applyNumberFormat="1" applyFont="1" applyFill="1" applyBorder="1"/>
    <x:xf numFmtId="202" fontId="3" fillId="2" borderId="1" xfId="0" applyNumberFormat="1" applyFont="1" applyFill="1" applyBorder="1"/>
    <x:xf numFmtId="200" fontId="3" fillId="2" borderId="0" xfId="0" applyNumberFormat="1" applyFont="1" applyFill="1" applyBorder="1"/>
    <x:xf numFmtId="200" fontId="3" fillId="2" borderId="1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1" xfId="0" applyNumberFormat="1" applyFont="1" applyFill="1" applyBorder="1"/>
    <x:xf numFmtId="0" fontId="11" fillId="8" borderId="1" xfId="0" applyNumberFormat="1" applyFont="1" applyFill="1" applyBorder="1" applyAlignment="1">
      <x:alignment wrapText="1"/>
    </x:xf>
    <x:xf numFmtId="0" fontId="11" fillId="8" borderId="1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1" fontId="5" fillId="4" borderId="0" xfId="0" applyNumberFormat="1" applyFont="1" applyFill="1" applyBorder="1" applyAlignment="1">
      <x:alignment horizontal="center" wrapText="1"/>
    </x:xf>
    <x:xf numFmtId="200" fontId="6" fillId="6" borderId="0" xfId="0" applyNumberFormat="1" applyFont="1" applyFill="1" applyBorder="1" applyAlignment="1">
      <x:alignment wrapText="1"/>
    </x:xf>
    <x:xf numFmtId="202" fontId="7" fillId="6" borderId="0" xfId="0" applyNumberFormat="1" applyFont="1" applyFill="1" applyBorder="1" applyAlignment="1">
      <x:alignment wrapText="1"/>
    </x:xf>
    <x:xf numFmtId="20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2" fontId="3" fillId="2" borderId="0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1" fontId="5" fillId="4" borderId="1" xfId="0" applyNumberFormat="1" applyFont="1" applyFill="1" applyBorder="1" applyAlignment="1">
      <x:alignment horizontal="center" wrapText="1"/>
    </x:xf>
    <x:xf numFmtId="200" fontId="6" fillId="6" borderId="1" xfId="0" applyNumberFormat="1" applyFont="1" applyFill="1" applyBorder="1" applyAlignment="1">
      <x:alignment wrapText="1"/>
    </x:xf>
    <x:xf numFmtId="202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2" fontId="3" fillId="2" borderId="1" xfId="0" applyNumberFormat="1" applyFont="1" applyFill="1" applyBorder="1" applyAlignment="1">
      <x:alignment wrapText="1"/>
    </x:xf>
    <x:xf numFmtId="20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center"/>
    </x:xf>
    <x:xf numFmtId="201" fontId="4" fillId="6" borderId="0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202" fontId="4" fillId="6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horizontal="center" vertical="center" wrapText="1"/>
    </x:xf>
    <x:xf numFmtId="200" fontId="6" fillId="6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2" fontId="7" fillId="6" borderId="0" xfId="0" applyNumberFormat="1" applyFont="1" applyFill="1" applyBorder="1" applyAlignment="1">
      <x:alignment vertical="center" wrapText="1"/>
    </x:xf>
    <x:xf numFmtId="200" fontId="7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2" fontId="3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0" fontId="5" fillId="5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/>
    </x:xf>
    <x:xf numFmtId="201" fontId="4" fillId="6" borderId="1" xfId="0" applyNumberFormat="1" applyFont="1" applyFill="1" applyBorder="1" applyAlignment="1">
      <x:alignment vertical="center"/>
    </x:xf>
    <x:xf numFmtId="200" fontId="6" fillId="6" borderId="1" xfId="0" applyNumberFormat="1" applyFont="1" applyFill="1" applyBorder="1" applyAlignment="1">
      <x:alignment vertical="center"/>
    </x:xf>
    <x:xf numFmtId="202" fontId="4" fillId="6" borderId="1" xfId="0" applyNumberFormat="1" applyFont="1" applyFill="1" applyBorder="1" applyAlignment="1">
      <x:alignment vertical="center"/>
    </x:xf>
    <x:xf numFmtId="201" fontId="5" fillId="5" borderId="1" xfId="0" applyNumberFormat="1" applyFont="1" applyFill="1" applyBorder="1" applyAlignment="1">
      <x:alignment vertical="center"/>
    </x:xf>
    <x:xf numFmtId="202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5" fillId="4" borderId="1" xfId="0" applyNumberFormat="1" applyFont="1" applyFill="1" applyBorder="1" applyAlignment="1">
      <x:alignment horizontal="center" vertical="center" wrapText="1"/>
    </x:xf>
    <x:xf numFmtId="200" fontId="6" fillId="6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2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202" fontId="3" fillId="2" borderId="1" xfId="0" applyNumberFormat="1" applyFont="1" applyFill="1" applyBorder="1" applyAlignment="1">
      <x:alignment vertical="center" wrapText="1"/>
    </x:xf>
    <x:xf numFmtId="200" fontId="3" fillId="2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horizontal="right" vertical="center"/>
    </x:xf>
    <x:xf numFmtId="201" fontId="4" fillId="6" borderId="0" xfId="0" applyNumberFormat="1" applyFont="1" applyFill="1" applyBorder="1" applyAlignment="1">
      <x:alignment horizontal="right" vertical="center"/>
    </x:xf>
    <x:xf numFmtId="202" fontId="4" fillId="6" borderId="0" xfId="0" applyNumberFormat="1" applyFont="1" applyFill="1" applyBorder="1" applyAlignment="1">
      <x:alignment horizontal="right" vertical="center"/>
    </x:xf>
    <x:xf numFmtId="200" fontId="4" fillId="6" borderId="1" xfId="0" applyNumberFormat="1" applyFont="1" applyFill="1" applyBorder="1" applyAlignment="1">
      <x:alignment horizontal="right" vertical="center"/>
    </x:xf>
    <x:xf numFmtId="201" fontId="4" fillId="6" borderId="1" xfId="0" applyNumberFormat="1" applyFont="1" applyFill="1" applyBorder="1" applyAlignment="1">
      <x:alignment horizontal="right" vertical="center"/>
    </x:xf>
    <x:xf numFmtId="202" fontId="4" fillId="6" borderId="1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203" fontId="6" fillId="6" borderId="0" xfId="0" applyNumberFormat="1" applyFont="1" applyFill="1" applyBorder="1" applyAlignment="1">
      <x:alignment vertical="center" wrapText="1"/>
    </x:xf>
    <x:xf numFmtId="203" fontId="6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08000"/>
      </x:font>
      <x:fill>
        <x:patternFill patternType="solid">
          <x:bgColor rgb="FFD9EAD3"/>
        </x:patternFill>
      </x:fill>
    </x:dxf>
    <x:dxf>
      <x:font>
        <x:b/>
        <x:color rgb="FFFF0000"/>
      </x:font>
      <x:fill>
        <x:patternFill patternType="solid">
          <x:bgColor rgb="FFF4CCCC"/>
        </x:patternFill>
      </x:fill>
    </x:dxf>
    <x:dxf>
      <x:font>
        <x:b/>
        <x:color rgb="FF008000"/>
      </x:font>
      <x:fill>
        <x:patternFill patternType="solid">
          <x:bgColor rgb="FFD9EAD3"/>
        </x:patternFill>
      </x:fill>
    </x:dxf>
    <x:dxf>
      <x:font>
        <x:b/>
        <x:color rgb="FFFF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9eb8caef14658" /><Relationship Type="http://schemas.openxmlformats.org/officeDocument/2006/relationships/theme" Target="/xl/theme/theme1.xml" Id="Rea3bceddf7fe45ef" /><Relationship Type="http://schemas.openxmlformats.org/officeDocument/2006/relationships/sharedStrings" Target="/xl/sharedStrings.xml" Id="R62b00a5230914158" /><Relationship Type="http://schemas.openxmlformats.org/officeDocument/2006/relationships/worksheet" Target="/xl/worksheets/sheet1.xml" Id="R92e9984980ba454e" /><Relationship Type="http://schemas.openxmlformats.org/officeDocument/2006/relationships/worksheet" Target="/xl/worksheets/sheet2.xml" Id="R7b83ec2c2e004e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ab3bb6b2b24c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Divisão do aporte por perfil</a:t>
            </a:r>
          </a:p>
        </c:rich>
      </c:tx>
      <c:overlay val="0"/>
    </c:title>
    <c:plotArea>
      <c:pieChart>
        <c:ser>
          <c:idx val="0"/>
          <c:order val="0"/>
          <c:tx>
            <c:v>% do aporte</c:v>
          </c:tx>
          <c:cat>
            <c:strRef>
              <c:f>'Simulador'!$F$15:$F$20</c:f>
              <c:strCache>
                <c:ptCount val="0"/>
              </c:strCache>
            </c:strRef>
          </c:cat>
          <c:val>
            <c:numRef>
              <c:f>'Simulador'!$G$15:$G$20</c:f>
              <c:numCache>
                <c:formatCode>0.00%;[Red](0.00%);-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ab3bb6b2b24c6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3a20dd22134deb" /></Relationships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8" hidden="0" customWidth="1"/>
    <x:col min="3" max="3" width="22" hidden="0" customWidth="1"/>
    <x:col min="4" max="4" width="28" hidden="0" customWidth="1"/>
    <x:col min="5" max="5" width="16" hidden="0" customWidth="1"/>
    <x:col min="6" max="6" width="28" hidden="0" customWidth="1"/>
    <x:col min="7" max="7" width="15" hidden="0" customWidth="1"/>
    <x:col min="8" max="8" width="18" hidden="0" customWidth="1"/>
    <x:col min="9" max="9" width="32" hidden="0" customWidth="1"/>
    <x:col min="10" max="10" width="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5" t="str">
        <x:v>FII SIMULADOR | Projeto DIO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2" customHeight="1">
      <x:c r="A2" s="13" t="str">
        <x:v>Simulação educacional de aporte mensal, patrimônio, dividendos e distribuição por perfil.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27"/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</x:row>
    <x:row r="4">
      <x:c r="A4" s="20" t="str">
        <x:v>ENTRADAS</x:v>
      </x:c>
      <x:c r="B4" s="20"/>
      <x:c r="C4" s="127"/>
      <x:c r="D4" s="20" t="str">
        <x:v>5 PERGUNTAS DE NEGÓCIO</x:v>
      </x:c>
      <x:c r="E4" s="20"/>
      <x:c r="F4" s="20"/>
      <x:c r="G4" s="127"/>
      <x:c r="H4" s="127"/>
      <x:c r="I4" s="127"/>
      <x:c r="J4" s="127"/>
      <x:c r="K4" s="127"/>
      <x:c r="L4" s="127"/>
      <x:c r="M4" s="127"/>
      <x:c r="N4" s="127"/>
      <x:c r="O4" s="127"/>
      <x:c r="P4" s="127"/>
      <x:c r="Q4" s="127"/>
    </x:row>
    <x:row r="5">
      <x:c r="A5" s="128" t="str">
        <x:v>Salário mensal</x:v>
      </x:c>
      <x:c r="B5" s="129" t="n">
        <x:v>3500</x:v>
      </x:c>
      <x:c r="C5" s="127"/>
      <x:c r="D5" s="130" t="str">
        <x:v>Quanto investir por mês?</x:v>
      </x:c>
      <x:c r="E5" s="173" t="n">
        <x:f>$B$6</x:f>
        <x:v>1050</x:v>
      </x:c>
      <x:c r="F5" s="179"/>
      <x:c r="G5" s="127"/>
      <x:c r="H5" s="127"/>
      <x:c r="I5" s="127"/>
      <x:c r="J5" s="127"/>
      <x:c r="K5" s="127"/>
      <x:c r="L5" s="127"/>
      <x:c r="M5" s="127"/>
      <x:c r="N5" s="127"/>
      <x:c r="O5" s="127"/>
      <x:c r="P5" s="127"/>
      <x:c r="Q5" s="127"/>
    </x:row>
    <x:row r="6">
      <x:c r="A6" s="128" t="str">
        <x:v>Aporte mensal</x:v>
      </x:c>
      <x:c r="B6" s="129" t="n">
        <x:v>1050</x:v>
      </x:c>
      <x:c r="C6" s="127"/>
      <x:c r="D6" s="130" t="str">
        <x:v>Por quantos anos?</x:v>
      </x:c>
      <x:c r="E6" s="174" t="n">
        <x:f>$B$8</x:f>
        <x:v>10</x:v>
      </x:c>
      <x:c r="F6" s="179"/>
      <x:c r="G6" s="127"/>
      <x:c r="H6" s="127"/>
      <x:c r="I6" s="127"/>
      <x:c r="J6" s="127"/>
      <x:c r="K6" s="127"/>
      <x:c r="L6" s="127"/>
      <x:c r="M6" s="127"/>
      <x:c r="N6" s="127"/>
      <x:c r="O6" s="127"/>
      <x:c r="P6" s="127"/>
      <x:c r="Q6" s="127"/>
    </x:row>
    <x:row r="7">
      <x:c r="A7" s="128" t="str">
        <x:v>Sugestão de aporte (30% do salário)</x:v>
      </x:c>
      <x:c r="B7" s="133" t="n">
        <x:f>B5*30%</x:f>
        <x:v>1050</x:v>
      </x:c>
      <x:c r="C7" s="127"/>
      <x:c r="D7" s="130" t="str">
        <x:v>Qual a taxa de rendimento mensal?</x:v>
      </x:c>
      <x:c r="E7" s="175" t="n">
        <x:f>$B$9</x:f>
        <x:v>0.008</x:v>
      </x:c>
      <x:c r="F7" s="179"/>
      <x:c r="G7" s="127"/>
      <x:c r="H7" s="127"/>
      <x:c r="I7" s="127"/>
      <x:c r="J7" s="127"/>
      <x:c r="K7" s="127"/>
      <x:c r="L7" s="127"/>
      <x:c r="M7" s="127"/>
      <x:c r="N7" s="127"/>
      <x:c r="O7" s="127"/>
      <x:c r="P7" s="127"/>
      <x:c r="Q7" s="127"/>
    </x:row>
    <x:row r="8">
      <x:c r="A8" s="128" t="str">
        <x:v>Prazo (anos)</x:v>
      </x:c>
      <x:c r="B8" s="135" t="n">
        <x:v>10</x:v>
      </x:c>
      <x:c r="C8" s="127"/>
      <x:c r="D8" s="130" t="str">
        <x:v>Quanto de patrimônio vai acumular?</x:v>
      </x:c>
      <x:c r="E8" s="173" t="n">
        <x:f>FV($B$9,$B$8*12,-$B$6,0,0)</x:f>
        <x:v>210228.34288041404</x:v>
      </x:c>
      <x:c r="F8" s="179"/>
      <x:c r="G8" s="127"/>
      <x:c r="H8" s="127"/>
      <x:c r="I8" s="127"/>
      <x:c r="J8" s="127"/>
      <x:c r="K8" s="127"/>
      <x:c r="L8" s="127"/>
      <x:c r="M8" s="127"/>
      <x:c r="N8" s="127"/>
      <x:c r="O8" s="127"/>
      <x:c r="P8" s="127"/>
      <x:c r="Q8" s="127"/>
    </x:row>
    <x:row r="9">
      <x:c r="A9" s="128" t="str">
        <x:v>Rendimento mensal da carteira</x:v>
      </x:c>
      <x:c r="B9" s="136" t="n">
        <x:v>0.008</x:v>
      </x:c>
      <x:c r="C9" s="127"/>
      <x:c r="D9" s="130" t="str">
        <x:v>Quanto vai receber de dividendos por mês?</x:v>
      </x:c>
      <x:c r="E9" s="173" t="n">
        <x:f>E8*$B$9</x:f>
        <x:v>1681.8267430433123</x:v>
      </x:c>
      <x:c r="F9" s="179"/>
      <x:c r="G9" s="127"/>
      <x:c r="H9" s="127"/>
      <x:c r="I9" s="127"/>
      <x:c r="J9" s="127"/>
      <x:c r="K9" s="127"/>
      <x:c r="L9" s="127"/>
      <x:c r="M9" s="127"/>
      <x:c r="N9" s="127"/>
      <x:c r="O9" s="127"/>
      <x:c r="P9" s="127"/>
      <x:c r="Q9" s="127"/>
    </x:row>
    <x:row r="10">
      <x:c r="A10" s="128" t="str">
        <x:v>Perfil do investidor</x:v>
      </x:c>
      <x:c r="B10" s="137" t="str">
        <x:v>Moderado</x:v>
      </x:c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7"/>
      <x:c r="P10" s="127"/>
      <x:c r="Q10" s="127"/>
    </x:row>
    <x:row r="11">
      <x:c r="A11" s="127"/>
      <x:c r="B11" s="127"/>
      <x:c r="C11" s="127"/>
      <x:c r="D11" s="127"/>
      <x:c r="E11" s="127"/>
      <x:c r="F11" s="127"/>
      <x:c r="G11" s="127"/>
      <x:c r="H11" s="127"/>
      <x:c r="I11" s="127"/>
      <x:c r="J11" s="127"/>
      <x:c r="K11" s="127"/>
      <x:c r="L11" s="127"/>
      <x:c r="M11" s="127"/>
      <x:c r="N11" s="127"/>
      <x:c r="O11" s="127"/>
      <x:c r="P11" s="127"/>
      <x:c r="Q11" s="127"/>
    </x:row>
    <x:row r="12">
      <x:c r="A12" s="127"/>
      <x:c r="B12" s="127"/>
      <x:c r="C12" s="127"/>
      <x:c r="D12" s="127"/>
      <x:c r="E12" s="127"/>
      <x:c r="F12" s="127"/>
      <x:c r="G12" s="127"/>
      <x:c r="H12" s="127"/>
      <x:c r="I12" s="127"/>
      <x:c r="J12" s="127"/>
      <x:c r="K12" s="127"/>
      <x:c r="L12" s="127"/>
      <x:c r="M12" s="127"/>
      <x:c r="N12" s="127"/>
      <x:c r="O12" s="127"/>
      <x:c r="P12" s="127"/>
      <x:c r="Q12" s="127"/>
    </x:row>
    <x:row r="13">
      <x:c r="A13" s="20" t="str">
        <x:v>CENÁRIOS</x:v>
      </x:c>
      <x:c r="B13" s="20"/>
      <x:c r="C13" s="20"/>
      <x:c r="D13" s="20"/>
      <x:c r="E13" s="127"/>
      <x:c r="F13" s="20" t="str">
        <x:v>DIVISÃO DO APORTE</x:v>
      </x:c>
      <x:c r="G13" s="20"/>
      <x:c r="H13" s="20"/>
      <x:c r="I13" s="20"/>
      <x:c r="J13" s="127"/>
      <x:c r="K13" s="127"/>
      <x:c r="L13" s="127"/>
      <x:c r="M13" s="127"/>
      <x:c r="N13" s="127"/>
      <x:c r="O13" s="127"/>
      <x:c r="P13" s="127"/>
      <x:c r="Q13" s="127"/>
    </x:row>
    <x:row r="14">
      <x:c r="A14" s="138" t="str">
        <x:v>Anos</x:v>
      </x:c>
      <x:c r="B14" s="138" t="str">
        <x:v>Aporte mensal</x:v>
      </x:c>
      <x:c r="C14" s="138" t="str">
        <x:v>Patrimônio projetado</x:v>
      </x:c>
      <x:c r="D14" s="138" t="str">
        <x:v>Dividendos/mês</x:v>
      </x:c>
      <x:c r="E14" s="139"/>
      <x:c r="F14" s="138" t="str">
        <x:v>Tipo de fundo</x:v>
      </x:c>
      <x:c r="G14" s="138" t="str">
        <x:v>% do aporte</x:v>
      </x:c>
      <x:c r="H14" s="138" t="str">
        <x:v>Aporte mensal</x:v>
      </x:c>
      <x:c r="I14" s="138" t="str">
        <x:v>Chave</x:v>
      </x:c>
      <x:c r="J14" s="127"/>
      <x:c r="K14" s="127"/>
      <x:c r="L14" s="127"/>
      <x:c r="M14" s="127"/>
      <x:c r="N14" s="127"/>
      <x:c r="O14" s="127"/>
      <x:c r="P14" s="127"/>
      <x:c r="Q14" s="127"/>
    </x:row>
    <x:row r="15">
      <x:c r="A15" s="140" t="n">
        <x:v>2</x:v>
      </x:c>
      <x:c r="B15" s="141" t="n">
        <x:f>$B$6</x:f>
        <x:v>1050</x:v>
      </x:c>
      <x:c r="C15" s="141" t="n">
        <x:f>FV($B$9,A15*12,-$B$6,0,0)</x:f>
        <x:v>27660.312866675544</x:v>
      </x:c>
      <x:c r="D15" s="141" t="n">
        <x:f>C15*$B$9</x:f>
        <x:v>221.28250293340434</x:v>
      </x:c>
      <x:c r="E15" s="139"/>
      <x:c r="F15" s="142" t="str">
        <x:v>Tijolo - Logística</x:v>
      </x:c>
      <x:c r="G15" s="143" t="n">
        <x:f>VLOOKUP($B$10&amp;"|"&amp;F15,Apoio!$C$3:$D$20,2,FALSE)</x:f>
        <x:v>0.25</x:v>
      </x:c>
      <x:c r="H15" s="144" t="n">
        <x:f>$B$6*G15</x:f>
        <x:v>262.5</x:v>
      </x:c>
      <x:c r="I15" s="145" t="str">
        <x:f>$B$10&amp;"|"&amp;F15</x:f>
        <x:v>Moderado|Tijolo - Logística</x:v>
      </x:c>
      <x:c r="J15" s="127"/>
      <x:c r="K15" s="127"/>
      <x:c r="L15" s="127"/>
      <x:c r="M15" s="127"/>
      <x:c r="N15" s="127"/>
      <x:c r="O15" s="127"/>
      <x:c r="P15" s="127"/>
      <x:c r="Q15" s="127"/>
    </x:row>
    <x:row r="16">
      <x:c r="A16" s="140" t="n">
        <x:v>5</x:v>
      </x:c>
      <x:c r="B16" s="141" t="n">
        <x:f>$B$6</x:f>
        <x:v>1050</x:v>
      </x:c>
      <x:c r="C16" s="141" t="n">
        <x:f>FV($B$9,A16*12,-$B$6,0,0)</x:f>
        <x:v>80455.06017347422</x:v>
      </x:c>
      <x:c r="D16" s="141" t="n">
        <x:f>C16*$B$9</x:f>
        <x:v>643.6404813877938</x:v>
      </x:c>
      <x:c r="E16" s="139"/>
      <x:c r="F16" s="142" t="str">
        <x:v>Tijolo - Shoppings</x:v>
      </x:c>
      <x:c r="G16" s="143" t="n">
        <x:f>VLOOKUP($B$10&amp;"|"&amp;F16,Apoio!$C$3:$D$20,2,FALSE)</x:f>
        <x:v>0.15</x:v>
      </x:c>
      <x:c r="H16" s="144" t="n">
        <x:f>$B$6*G16</x:f>
        <x:v>157.5</x:v>
      </x:c>
      <x:c r="I16" s="145" t="str">
        <x:f>$B$10&amp;"|"&amp;F16</x:f>
        <x:v>Moderado|Tijolo - Shoppings</x:v>
      </x:c>
      <x:c r="J16" s="127"/>
      <x:c r="K16" s="127"/>
      <x:c r="L16" s="127"/>
      <x:c r="M16" s="127"/>
      <x:c r="N16" s="127"/>
      <x:c r="O16" s="127"/>
      <x:c r="P16" s="127"/>
      <x:c r="Q16" s="127"/>
    </x:row>
    <x:row r="17">
      <x:c r="A17" s="140" t="n">
        <x:v>10</x:v>
      </x:c>
      <x:c r="B17" s="141" t="n">
        <x:f>$B$6</x:f>
        <x:v>1050</x:v>
      </x:c>
      <x:c r="C17" s="141" t="n">
        <x:f>FV($B$9,A17*12,-$B$6,0,0)</x:f>
        <x:v>210228.34288041404</x:v>
      </x:c>
      <x:c r="D17" s="141" t="n">
        <x:f>C17*$B$9</x:f>
        <x:v>1681.8267430433123</x:v>
      </x:c>
      <x:c r="E17" s="139"/>
      <x:c r="F17" s="142" t="str">
        <x:v>Tijolo - Lajes corporativas</x:v>
      </x:c>
      <x:c r="G17" s="143" t="n">
        <x:f>VLOOKUP($B$10&amp;"|"&amp;F17,Apoio!$C$3:$D$20,2,FALSE)</x:f>
        <x:v>0.1</x:v>
      </x:c>
      <x:c r="H17" s="144" t="n">
        <x:f>$B$6*G17</x:f>
        <x:v>105</x:v>
      </x:c>
      <x:c r="I17" s="145" t="str">
        <x:f>$B$10&amp;"|"&amp;F17</x:f>
        <x:v>Moderado|Tijolo - Lajes corporativas</x:v>
      </x:c>
      <x:c r="J17" s="127"/>
      <x:c r="K17" s="127"/>
      <x:c r="L17" s="127"/>
      <x:c r="M17" s="127"/>
      <x:c r="N17" s="127"/>
      <x:c r="O17" s="127"/>
      <x:c r="P17" s="127"/>
      <x:c r="Q17" s="127"/>
    </x:row>
    <x:row r="18">
      <x:c r="A18" s="140" t="n">
        <x:v>20</x:v>
      </x:c>
      <x:c r="B18" s="141" t="n">
        <x:f>$B$6</x:f>
        <x:v>1050</x:v>
      </x:c>
      <x:c r="C18" s="141" t="n">
        <x:f>FV($B$9,A18*12,-$B$6,0,0)</x:f>
        <x:v>757187.7802388847</x:v>
      </x:c>
      <x:c r="D18" s="141" t="n">
        <x:f>C18*$B$9</x:f>
        <x:v>6057.502241911078</x:v>
      </x:c>
      <x:c r="E18" s="139"/>
      <x:c r="F18" s="142" t="str">
        <x:v>Recebíveis - CRI</x:v>
      </x:c>
      <x:c r="G18" s="143" t="n">
        <x:f>VLOOKUP($B$10&amp;"|"&amp;F18,Apoio!$C$3:$D$20,2,FALSE)</x:f>
        <x:v>0.25</x:v>
      </x:c>
      <x:c r="H18" s="144" t="n">
        <x:f>$B$6*G18</x:f>
        <x:v>262.5</x:v>
      </x:c>
      <x:c r="I18" s="145" t="str">
        <x:f>$B$10&amp;"|"&amp;F18</x:f>
        <x:v>Moderado|Recebíveis - CRI</x:v>
      </x:c>
      <x:c r="J18" s="127"/>
      <x:c r="K18" s="127"/>
      <x:c r="L18" s="127"/>
      <x:c r="M18" s="127"/>
      <x:c r="N18" s="127"/>
      <x:c r="O18" s="127"/>
      <x:c r="P18" s="127"/>
      <x:c r="Q18" s="127"/>
    </x:row>
    <x:row r="19">
      <x:c r="A19" s="140" t="n">
        <x:v>30</x:v>
      </x:c>
      <x:c r="B19" s="141" t="n">
        <x:f>$B$6</x:f>
        <x:v>1050</x:v>
      </x:c>
      <x:c r="C19" s="141" t="n">
        <x:f>FV($B$9,A19*12,-$B$6,0,0)</x:f>
        <x:v>2180233.8929396397</x:v>
      </x:c>
      <x:c r="D19" s="141" t="n">
        <x:f>C19*$B$9</x:f>
        <x:v>17441.871143517117</x:v>
      </x:c>
      <x:c r="E19" s="139"/>
      <x:c r="F19" s="142" t="str">
        <x:v>Híbridos</x:v>
      </x:c>
      <x:c r="G19" s="143" t="n">
        <x:f>VLOOKUP($B$10&amp;"|"&amp;F19,Apoio!$C$3:$D$20,2,FALSE)</x:f>
        <x:v>0.15</x:v>
      </x:c>
      <x:c r="H19" s="144" t="n">
        <x:f>$B$6*G19</x:f>
        <x:v>157.5</x:v>
      </x:c>
      <x:c r="I19" s="145" t="str">
        <x:f>$B$10&amp;"|"&amp;F19</x:f>
        <x:v>Moderado|Híbridos</x:v>
      </x:c>
      <x:c r="J19" s="127"/>
      <x:c r="K19" s="127"/>
      <x:c r="L19" s="127"/>
      <x:c r="M19" s="127"/>
      <x:c r="N19" s="127"/>
      <x:c r="O19" s="127"/>
      <x:c r="P19" s="127"/>
      <x:c r="Q19" s="127"/>
    </x:row>
    <x:row r="20">
      <x:c r="A20" s="139"/>
      <x:c r="B20" s="139"/>
      <x:c r="C20" s="139"/>
      <x:c r="D20" s="139"/>
      <x:c r="E20" s="139"/>
      <x:c r="F20" s="142" t="str">
        <x:v>Fundos de Fundos (FoF)</x:v>
      </x:c>
      <x:c r="G20" s="143" t="n">
        <x:f>VLOOKUP($B$10&amp;"|"&amp;F20,Apoio!$C$3:$D$20,2,FALSE)</x:f>
        <x:v>0.1</x:v>
      </x:c>
      <x:c r="H20" s="144" t="n">
        <x:f>$B$6*G20</x:f>
        <x:v>105</x:v>
      </x:c>
      <x:c r="I20" s="145" t="str">
        <x:f>$B$10&amp;"|"&amp;F20</x:f>
        <x:v>Moderado|Fundos de Fundos (FoF)</x:v>
      </x:c>
      <x:c r="J20" s="127"/>
      <x:c r="K20" s="127"/>
      <x:c r="L20" s="127"/>
      <x:c r="M20" s="127"/>
      <x:c r="N20" s="127"/>
      <x:c r="O20" s="127"/>
      <x:c r="P20" s="127"/>
      <x:c r="Q20" s="127"/>
    </x:row>
    <x:row r="21">
      <x:c r="A21" s="139"/>
      <x:c r="B21" s="139"/>
      <x:c r="C21" s="139"/>
      <x:c r="D21" s="139"/>
      <x:c r="E21" s="139"/>
      <x:c r="F21" s="146" t="str">
        <x:v>TOTAL</x:v>
      </x:c>
      <x:c r="G21" s="147" t="n">
        <x:f>SUM(G15:G20)</x:f>
        <x:v>1</x:v>
      </x:c>
      <x:c r="H21" s="148" t="n">
        <x:f>SUM(H15:H20)</x:f>
        <x:v>1050</x:v>
      </x:c>
      <x:c r="I21" s="139"/>
      <x:c r="J21" s="127"/>
      <x:c r="K21" s="127"/>
      <x:c r="L21" s="127"/>
      <x:c r="M21" s="127"/>
      <x:c r="N21" s="127"/>
      <x:c r="O21" s="127"/>
      <x:c r="P21" s="127"/>
      <x:c r="Q21" s="127"/>
    </x:row>
    <x:row r="22">
      <x:c r="A22" s="81" t="str">
        <x:v>IMPORTANTE: arquivo educacional. Os percentuais de perfil são exemplos criados para o desafio e não constituem recomendação de investimento. Altere somente as células amarelas.</x:v>
      </x:c>
      <x:c r="B22" s="81"/>
      <x:c r="C22" s="81"/>
      <x:c r="D22" s="81"/>
      <x:c r="E22" s="81"/>
      <x:c r="F22" s="81"/>
      <x:c r="G22" s="81"/>
      <x:c r="H22" s="81"/>
      <x:c r="I22" s="81"/>
      <x:c r="J22" s="127"/>
      <x:c r="K22" s="127"/>
      <x:c r="L22" s="127"/>
      <x:c r="M22" s="127"/>
      <x:c r="N22" s="127"/>
      <x:c r="O22" s="127"/>
      <x:c r="P22" s="127"/>
      <x:c r="Q22" s="127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127"/>
      <x:c r="K23" s="127"/>
      <x:c r="L23" s="127"/>
      <x:c r="M23" s="127"/>
      <x:c r="N23" s="127"/>
      <x:c r="O23" s="127"/>
      <x:c r="P23" s="127"/>
      <x:c r="Q23" s="127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127"/>
      <x:c r="K24" s="127"/>
      <x:c r="L24" s="127"/>
      <x:c r="M24" s="127"/>
      <x:c r="N24" s="127"/>
      <x:c r="O24" s="127"/>
      <x:c r="P24" s="127"/>
      <x:c r="Q24" s="127"/>
    </x:row>
    <x:row r="25">
      <x:c r="A25" s="127"/>
      <x:c r="B25" s="127"/>
      <x:c r="C25" s="127"/>
      <x:c r="D25" s="127"/>
      <x:c r="E25" s="127"/>
      <x:c r="F25" s="127"/>
      <x:c r="G25" s="127"/>
      <x:c r="H25" s="127"/>
      <x:c r="I25" s="127"/>
      <x:c r="J25" s="127"/>
      <x:c r="K25" s="127"/>
      <x:c r="L25" s="127"/>
      <x:c r="M25" s="127"/>
      <x:c r="N25" s="127"/>
      <x:c r="O25" s="127"/>
      <x:c r="P25" s="127"/>
      <x:c r="Q25" s="127"/>
    </x:row>
    <x:row r="26">
      <x:c r="A26" s="149" t="str">
        <x:v>Referência do desafio: https://hermes.dio.me/files/assets/a04b81b1-8e35-4e72-aeb9-98aed8ed4403.xlsx</x:v>
      </x:c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  <x:c r="M26" s="127"/>
      <x:c r="N26" s="127"/>
      <x:c r="O26" s="127"/>
      <x:c r="P26" s="127"/>
      <x:c r="Q26" s="127"/>
    </x:row>
  </x:sheetData>
  <x:mergeCells>
    <x:mergeCell ref="A1:Q1"/>
    <x:mergeCell ref="A2:Q2"/>
    <x:mergeCell ref="A4:B4"/>
    <x:mergeCell ref="D4:F4"/>
    <x:mergeCell ref="A13:D13"/>
    <x:mergeCell ref="F13:I13"/>
    <x:mergeCell ref="A22:I24"/>
    <x:mergeCell ref="A26:Q26"/>
    <x:mergeCell ref="E5:F5"/>
    <x:mergeCell ref="E6:F6"/>
    <x:mergeCell ref="E7:F7"/>
    <x:mergeCell ref="E8:F8"/>
    <x:mergeCell ref="E9:F9"/>
  </x:mergeCells>
  <x:conditionalFormatting sqref="G21:G21">
    <x:cfRule type="expression" dxfId="0" priority="1">
      <x:formula>ABS(G21-1)&lt;0.000001</x:formula>
    </x:cfRule>
    <x:cfRule type="expression" dxfId="1" priority="2">
      <x:formula>ABS(G21-1)&gt;0.000001</x:formula>
    </x:cfRule>
  </x:conditionalFormatting>
  <x:dataValidations count="1">
    <x:dataValidation type="list" sqref="B10">
      <x:formula1>Apoio!$F$2:$F$4</x:formula1>
    </x:dataValidation>
  </x:dataValidations>
  <x:pageMargins left="0.7" right="0.7" top="0.75" bottom="0.75" header="0.3" footer="0.3"/>
  <x:drawing xmlns:r="http://schemas.openxmlformats.org/officeDocument/2006/relationships" r:id="R633a20dd22134deb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38" hidden="0" customWidth="1"/>
    <x:col min="4" max="4" width="15" hidden="0" customWidth="1"/>
    <x:col min="5" max="5" width="3" hidden="0" customWidth="1"/>
    <x:col min="6" max="6" width="30" hidden="0" customWidth="1"/>
    <x:col min="7" max="7" width="62" hidden="0" customWidth="1"/>
  </x:cols>
  <x:sheetData>
    <x:row r="1">
      <x:c r="A1" s="89" t="str">
        <x:v>Tabela de apoio — perfis, tipos de fundo e percentuais</x:v>
      </x:c>
      <x:c r="B1" s="89"/>
      <x:c r="C1" s="89"/>
      <x:c r="D1" s="89"/>
      <x:c r="E1" s="89"/>
      <x:c r="F1" s="89"/>
      <x:c r="G1" s="89"/>
    </x:row>
    <x:row r="2">
      <x:c r="A2" s="58" t="str">
        <x:v>Perfil</x:v>
      </x:c>
      <x:c r="B2" s="58" t="str">
        <x:v>Tipo de fundo</x:v>
      </x:c>
      <x:c r="C2" s="58" t="str">
        <x:v>Chave composta</x:v>
      </x:c>
      <x:c r="D2" s="58" t="str">
        <x:v>Percentual</x:v>
      </x:c>
      <x:c r="F2" s="58" t="str">
        <x:v>Perfis disponíveis</x:v>
      </x:c>
      <x:c r="G2" s="58" t="str">
        <x:v>Soma da alocação</x:v>
      </x:c>
    </x:row>
    <x:row r="3">
      <x:c r="A3" s="93" t="str">
        <x:v>Conservador</x:v>
      </x:c>
      <x:c r="B3" s="93" t="str">
        <x:v>Tijolo - Logística</x:v>
      </x:c>
      <x:c r="C3" s="95" t="str">
        <x:f>A3&amp;"|"&amp;B3</x:f>
        <x:v>Conservador|Tijolo - Logística</x:v>
      </x:c>
      <x:c r="D3" s="97" t="n">
        <x:v>0.2</x:v>
      </x:c>
      <x:c r="F3" s="92" t="str">
        <x:v>Conservador</x:v>
      </x:c>
      <x:c r="G3" s="97" t="n">
        <x:f>SUMIF($A$3:$A$20,F3,$D$3:$D$20)</x:f>
        <x:v>1</x:v>
      </x:c>
    </x:row>
    <x:row r="4">
      <x:c r="A4" s="93" t="str">
        <x:v>Conservador</x:v>
      </x:c>
      <x:c r="B4" s="93" t="str">
        <x:v>Tijolo - Shoppings</x:v>
      </x:c>
      <x:c r="C4" s="95" t="str">
        <x:f>A4&amp;"|"&amp;B4</x:f>
        <x:v>Conservador|Tijolo - Shoppings</x:v>
      </x:c>
      <x:c r="D4" s="97" t="n">
        <x:v>0.15</x:v>
      </x:c>
      <x:c r="F4" s="92" t="str">
        <x:v>Moderado</x:v>
      </x:c>
      <x:c r="G4" s="97" t="n">
        <x:f>SUMIF($A$3:$A$20,F4,$D$3:$D$20)</x:f>
        <x:v>1</x:v>
      </x:c>
    </x:row>
    <x:row r="5">
      <x:c r="A5" s="93" t="str">
        <x:v>Conservador</x:v>
      </x:c>
      <x:c r="B5" s="93" t="str">
        <x:v>Tijolo - Lajes corporativas</x:v>
      </x:c>
      <x:c r="C5" s="95" t="str">
        <x:f>A5&amp;"|"&amp;B5</x:f>
        <x:v>Conservador|Tijolo - Lajes corporativas</x:v>
      </x:c>
      <x:c r="D5" s="97" t="n">
        <x:v>0.05</x:v>
      </x:c>
      <x:c r="F5" s="92" t="str">
        <x:v>Arrojado</x:v>
      </x:c>
      <x:c r="G5" s="97" t="n">
        <x:f>SUMIF($A$3:$A$20,F5,$D$3:$D$20)</x:f>
        <x:v>1</x:v>
      </x:c>
    </x:row>
    <x:row r="6">
      <x:c r="A6" s="93" t="str">
        <x:v>Conservador</x:v>
      </x:c>
      <x:c r="B6" s="93" t="str">
        <x:v>Recebíveis - CRI</x:v>
      </x:c>
      <x:c r="C6" s="95" t="str">
        <x:f>A6&amp;"|"&amp;B6</x:f>
        <x:v>Conservador|Recebíveis - CRI</x:v>
      </x:c>
      <x:c r="D6" s="97" t="n">
        <x:v>0.4</x:v>
      </x:c>
    </x:row>
    <x:row r="7">
      <x:c r="A7" s="93" t="str">
        <x:v>Conservador</x:v>
      </x:c>
      <x:c r="B7" s="93" t="str">
        <x:v>Híbridos</x:v>
      </x:c>
      <x:c r="C7" s="95" t="str">
        <x:f>A7&amp;"|"&amp;B7</x:f>
        <x:v>Conservador|Híbridos</x:v>
      </x:c>
      <x:c r="D7" s="97" t="n">
        <x:v>0.1</x:v>
      </x:c>
    </x:row>
    <x:row r="8">
      <x:c r="A8" s="93" t="str">
        <x:v>Conservador</x:v>
      </x:c>
      <x:c r="B8" s="93" t="str">
        <x:v>Fundos de Fundos (FoF)</x:v>
      </x:c>
      <x:c r="C8" s="95" t="str">
        <x:f>A8&amp;"|"&amp;B8</x:f>
        <x:v>Conservador|Fundos de Fundos (FoF)</x:v>
      </x:c>
      <x:c r="D8" s="97" t="n">
        <x:v>0.1</x:v>
      </x:c>
      <x:c r="F8" s="18" t="str">
        <x:v>Intervalo nomeado do projeto</x:v>
      </x:c>
      <x:c r="G8" s="18" t="str">
        <x:v>Referência</x:v>
      </x:c>
    </x:row>
    <x:row r="9">
      <x:c r="A9" s="93" t="str">
        <x:v>Moderado</x:v>
      </x:c>
      <x:c r="B9" s="93" t="str">
        <x:v>Tijolo - Logística</x:v>
      </x:c>
      <x:c r="C9" s="95" t="str">
        <x:f>A9&amp;"|"&amp;B9</x:f>
        <x:v>Moderado|Tijolo - Logística</x:v>
      </x:c>
      <x:c r="D9" s="97" t="n">
        <x:v>0.25</x:v>
      </x:c>
      <x:c r="F9" s="24" t="str">
        <x:v>aporte</x:v>
      </x:c>
      <x:c r="G9" s="24" t="str">
        <x:v>Simulador!$B$6</x:v>
      </x:c>
    </x:row>
    <x:row r="10">
      <x:c r="A10" s="93" t="str">
        <x:v>Moderado</x:v>
      </x:c>
      <x:c r="B10" s="93" t="str">
        <x:v>Tijolo - Shoppings</x:v>
      </x:c>
      <x:c r="C10" s="95" t="str">
        <x:f>A10&amp;"|"&amp;B10</x:f>
        <x:v>Moderado|Tijolo - Shoppings</x:v>
      </x:c>
      <x:c r="D10" s="97" t="n">
        <x:v>0.15</x:v>
      </x:c>
      <x:c r="F10" s="24" t="str">
        <x:v>taxa_mensal</x:v>
      </x:c>
      <x:c r="G10" s="24" t="str">
        <x:v>Simulador!$B$9</x:v>
      </x:c>
    </x:row>
    <x:row r="11">
      <x:c r="A11" s="93" t="str">
        <x:v>Moderado</x:v>
      </x:c>
      <x:c r="B11" s="93" t="str">
        <x:v>Tijolo - Lajes corporativas</x:v>
      </x:c>
      <x:c r="C11" s="95" t="str">
        <x:f>A11&amp;"|"&amp;B11</x:f>
        <x:v>Moderado|Tijolo - Lajes corporativas</x:v>
      </x:c>
      <x:c r="D11" s="97" t="n">
        <x:v>0.1</x:v>
      </x:c>
      <x:c r="F11" s="24" t="str">
        <x:v>salario</x:v>
      </x:c>
      <x:c r="G11" s="24" t="str">
        <x:v>Simulador!$B$5</x:v>
      </x:c>
    </x:row>
    <x:row r="12">
      <x:c r="A12" s="93" t="str">
        <x:v>Moderado</x:v>
      </x:c>
      <x:c r="B12" s="93" t="str">
        <x:v>Recebíveis - CRI</x:v>
      </x:c>
      <x:c r="C12" s="95" t="str">
        <x:f>A12&amp;"|"&amp;B12</x:f>
        <x:v>Moderado|Recebíveis - CRI</x:v>
      </x:c>
      <x:c r="D12" s="97" t="n">
        <x:v>0.25</x:v>
      </x:c>
      <x:c r="F12" s="24" t="str">
        <x:v>anos</x:v>
      </x:c>
      <x:c r="G12" s="24" t="str">
        <x:v>Simulador!$B$8</x:v>
      </x:c>
    </x:row>
    <x:row r="13">
      <x:c r="A13" s="93" t="str">
        <x:v>Moderado</x:v>
      </x:c>
      <x:c r="B13" s="93" t="str">
        <x:v>Híbridos</x:v>
      </x:c>
      <x:c r="C13" s="95" t="str">
        <x:f>A13&amp;"|"&amp;B13</x:f>
        <x:v>Moderado|Híbridos</x:v>
      </x:c>
      <x:c r="D13" s="97" t="n">
        <x:v>0.15</x:v>
      </x:c>
      <x:c r="F13" s="24" t="str">
        <x:v>perfil</x:v>
      </x:c>
      <x:c r="G13" s="24" t="str">
        <x:v>Simulador!$B$10</x:v>
      </x:c>
    </x:row>
    <x:row r="14">
      <x:c r="A14" s="93" t="str">
        <x:v>Moderado</x:v>
      </x:c>
      <x:c r="B14" s="93" t="str">
        <x:v>Fundos de Fundos (FoF)</x:v>
      </x:c>
      <x:c r="C14" s="95" t="str">
        <x:f>A14&amp;"|"&amp;B14</x:f>
        <x:v>Moderado|Fundos de Fundos (FoF)</x:v>
      </x:c>
      <x:c r="D14" s="97" t="n">
        <x:v>0.1</x:v>
      </x:c>
    </x:row>
    <x:row r="15">
      <x:c r="A15" s="93" t="str">
        <x:v>Arrojado</x:v>
      </x:c>
      <x:c r="B15" s="93" t="str">
        <x:v>Tijolo - Logística</x:v>
      </x:c>
      <x:c r="C15" s="95" t="str">
        <x:f>A15&amp;"|"&amp;B15</x:f>
        <x:v>Arrojado|Tijolo - Logística</x:v>
      </x:c>
      <x:c r="D15" s="97" t="n">
        <x:v>0.2</x:v>
      </x:c>
      <x:c r="F15" s="18" t="str">
        <x:v>Critério</x:v>
      </x:c>
      <x:c r="G15" s="18" t="str">
        <x:v>Observação</x:v>
      </x:c>
    </x:row>
    <x:row r="16">
      <x:c r="A16" s="93" t="str">
        <x:v>Arrojado</x:v>
      </x:c>
      <x:c r="B16" s="93" t="str">
        <x:v>Tijolo - Shoppings</x:v>
      </x:c>
      <x:c r="C16" s="95" t="str">
        <x:f>A16&amp;"|"&amp;B16</x:f>
        <x:v>Arrojado|Tijolo - Shoppings</x:v>
      </x:c>
      <x:c r="D16" s="97" t="n">
        <x:v>0.15</x:v>
      </x:c>
      <x:c r="F16" s="99" t="str">
        <x:v>Percentuais</x:v>
      </x:c>
      <x:c r="G16" s="99" t="str">
        <x:v>Exemplos didáticos criados para o projeto; não são recomendação.</x:v>
      </x:c>
    </x:row>
    <x:row r="17">
      <x:c r="A17" s="93" t="str">
        <x:v>Arrojado</x:v>
      </x:c>
      <x:c r="B17" s="93" t="str">
        <x:v>Tijolo - Lajes corporativas</x:v>
      </x:c>
      <x:c r="C17" s="95" t="str">
        <x:f>A17&amp;"|"&amp;B17</x:f>
        <x:v>Arrojado|Tijolo - Lajes corporativas</x:v>
      </x:c>
      <x:c r="D17" s="97" t="n">
        <x:v>0.25</x:v>
      </x:c>
      <x:c r="F17" s="99" t="str">
        <x:v>Chave composta</x:v>
      </x:c>
      <x:c r="G17" s="99" t="str">
        <x:v>Perfil|Tipo de fundo — usada pelo PROCV para encontrar o percentual.</x:v>
      </x:c>
    </x:row>
    <x:row r="18">
      <x:c r="A18" s="93" t="str">
        <x:v>Arrojado</x:v>
      </x:c>
      <x:c r="B18" s="93" t="str">
        <x:v>Recebíveis - CRI</x:v>
      </x:c>
      <x:c r="C18" s="95" t="str">
        <x:f>A18&amp;"|"&amp;B18</x:f>
        <x:v>Arrojado|Recebíveis - CRI</x:v>
      </x:c>
      <x:c r="D18" s="97" t="n">
        <x:v>0.15</x:v>
      </x:c>
    </x:row>
    <x:row r="19">
      <x:c r="A19" s="93" t="str">
        <x:v>Arrojado</x:v>
      </x:c>
      <x:c r="B19" s="93" t="str">
        <x:v>Híbridos</x:v>
      </x:c>
      <x:c r="C19" s="95" t="str">
        <x:f>A19&amp;"|"&amp;B19</x:f>
        <x:v>Arrojado|Híbridos</x:v>
      </x:c>
      <x:c r="D19" s="97" t="n">
        <x:v>0.1</x:v>
      </x:c>
    </x:row>
    <x:row r="20">
      <x:c r="A20" s="93" t="str">
        <x:v>Arrojado</x:v>
      </x:c>
      <x:c r="B20" s="93" t="str">
        <x:v>Fundos de Fundos (FoF)</x:v>
      </x:c>
      <x:c r="C20" s="95" t="str">
        <x:f>A20&amp;"|"&amp;B20</x:f>
        <x:v>Arrojado|Fundos de Fundos (FoF)</x:v>
      </x:c>
      <x:c r="D20" s="97" t="n">
        <x:v>0.15</x:v>
      </x:c>
    </x:row>
    <x:row r="23">
      <x:c r="A23" s="103" t="str">
        <x:v>A lógica de PROCV usa a coluna Chave composta para localizar o par Perfil + Tipo de fundo. O total de cada perfil é validado em 100%.</x:v>
      </x:c>
      <x:c r="B23" s="103"/>
      <x:c r="C23" s="103"/>
      <x:c r="D23" s="103"/>
      <x:c r="E23" s="103"/>
      <x:c r="F23" s="103"/>
      <x:c r="G23" s="103"/>
    </x:row>
    <x:row r="24">
      <x:c r="A24" s="103"/>
      <x:c r="B24" s="103"/>
      <x:c r="C24" s="103"/>
      <x:c r="D24" s="103"/>
      <x:c r="E24" s="103"/>
      <x:c r="F24" s="103"/>
      <x:c r="G24" s="103"/>
    </x:row>
    <x:row r="25">
      <x:c r="A25" s="103"/>
      <x:c r="B25" s="103"/>
      <x:c r="C25" s="103"/>
      <x:c r="D25" s="103"/>
      <x:c r="E25" s="103"/>
      <x:c r="F25" s="103"/>
      <x:c r="G25" s="103"/>
    </x:row>
    <x:row r="27">
      <x:c r="F27" s="99" t="str">
        <x:v>Referência do desafio</x:v>
      </x:c>
      <x:c r="G27" s="99" t="str">
        <x:v>https://hermes.dio.me/files/assets/a04b81b1-8e35-4e72-aeb9-98aed8ed4403.xlsx</x:v>
      </x:c>
    </x:row>
    <x:row r="28">
      <x:c r="F28" s="99" t="str">
        <x:v>Finalidade</x:v>
      </x:c>
      <x:c r="G28" s="99" t="str">
        <x:v>Projeto acadêmico / portfólio; modelo educacional.</x:v>
      </x:c>
    </x:row>
  </x:sheetData>
  <x:mergeCells>
    <x:mergeCell ref="A1:G1"/>
    <x:mergeCell ref="A23:G25"/>
  </x:mergeCells>
  <x:conditionalFormatting sqref="G3:G5">
    <x:cfRule type="expression" dxfId="2" priority="1">
      <x:formula>ABS(G3-1)&lt;0.000001</x:formula>
    </x:cfRule>
    <x:cfRule type="expression" dxfId="3" priority="2">
      <x:formula>ABS(G3-1)&gt;0.000001</x:formula>
    </x:cfRule>
  </x:conditionalFormatting>
  <x:pageMargins left="0.7" right="0.7" top="0.75" bottom="0.75" header="0.3" footer="0.3"/>
</x:worksheet>
</file>